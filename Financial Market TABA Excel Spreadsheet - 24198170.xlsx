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zam\Documents\Financial Market\TABA 40%\"/>
    </mc:Choice>
  </mc:AlternateContent>
  <xr:revisionPtr revIDLastSave="0" documentId="13_ncr:1_{C029F1F6-9E94-4952-A93A-28583F80FC8D}" xr6:coauthVersionLast="47" xr6:coauthVersionMax="47" xr10:uidLastSave="{00000000-0000-0000-0000-000000000000}"/>
  <bookViews>
    <workbookView xWindow="-120" yWindow="-120" windowWidth="20730" windowHeight="11040" activeTab="2" xr2:uid="{41521003-A8C4-4F76-B6DA-D48C2E8D5D05}"/>
  </bookViews>
  <sheets>
    <sheet name="Q.1. i &amp; ii" sheetId="1" r:id="rId1"/>
    <sheet name="Q.1. iii" sheetId="2" r:id="rId2"/>
    <sheet name="Q.1. iii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7" i="1" l="1"/>
  <c r="C27" i="1"/>
  <c r="G26" i="1" l="1"/>
  <c r="B19" i="3"/>
  <c r="B21" i="3" s="1"/>
  <c r="B11" i="3"/>
  <c r="A16" i="3" s="1"/>
  <c r="B13" i="3"/>
  <c r="B12" i="3"/>
  <c r="B16" i="3" s="1"/>
  <c r="A24" i="3" l="1"/>
  <c r="B24" i="3"/>
  <c r="B18" i="1" l="1"/>
  <c r="C18" i="1"/>
  <c r="B19" i="1"/>
  <c r="H27" i="1" l="1"/>
  <c r="F27" i="1"/>
  <c r="E27" i="1"/>
  <c r="D27" i="1"/>
  <c r="G27" i="1"/>
  <c r="G25" i="1"/>
  <c r="I26" i="1"/>
  <c r="C26" i="1"/>
  <c r="I25" i="1"/>
  <c r="C25" i="1"/>
  <c r="I24" i="1"/>
  <c r="H24" i="1"/>
  <c r="G24" i="1"/>
  <c r="F24" i="1"/>
  <c r="E24" i="1"/>
  <c r="D24" i="1"/>
  <c r="C24" i="1"/>
  <c r="J9" i="1"/>
  <c r="J10" i="1"/>
  <c r="J11" i="1"/>
  <c r="J12" i="1"/>
  <c r="J13" i="1"/>
  <c r="J8" i="1"/>
  <c r="G18" i="1"/>
  <c r="F18" i="1"/>
  <c r="I9" i="1"/>
  <c r="I10" i="1"/>
  <c r="I11" i="1"/>
  <c r="I12" i="1"/>
  <c r="I13" i="1"/>
  <c r="I8" i="1"/>
  <c r="H13" i="1"/>
  <c r="H12" i="1"/>
  <c r="H11" i="1"/>
  <c r="H10" i="1"/>
  <c r="H9" i="1"/>
  <c r="H8" i="1"/>
  <c r="G13" i="1"/>
  <c r="G12" i="1"/>
  <c r="G11" i="1"/>
  <c r="G10" i="1"/>
  <c r="G9" i="1"/>
  <c r="G8" i="1"/>
  <c r="F13" i="1"/>
  <c r="F12" i="1"/>
  <c r="F11" i="1"/>
  <c r="F10" i="1"/>
  <c r="F9" i="1"/>
  <c r="F8" i="1"/>
  <c r="E18" i="1"/>
  <c r="D18" i="1"/>
  <c r="E17" i="1"/>
  <c r="D17" i="1"/>
  <c r="C17" i="1"/>
  <c r="B17" i="1"/>
  <c r="E16" i="1"/>
  <c r="D16" i="1"/>
  <c r="C16" i="1"/>
  <c r="B16" i="1"/>
  <c r="G28" i="1" l="1"/>
  <c r="C28" i="1"/>
  <c r="I28" i="1"/>
  <c r="D25" i="1"/>
  <c r="D26" i="1" s="1"/>
  <c r="D28" i="1" s="1"/>
  <c r="E25" i="1"/>
  <c r="E26" i="1" s="1"/>
  <c r="E28" i="1" s="1"/>
  <c r="B20" i="1"/>
  <c r="F25" i="1"/>
  <c r="F26" i="1" s="1"/>
  <c r="F28" i="1" s="1"/>
  <c r="H25" i="1"/>
  <c r="H26" i="1" s="1"/>
  <c r="H28" i="1" s="1"/>
</calcChain>
</file>

<file path=xl/sharedStrings.xml><?xml version="1.0" encoding="utf-8"?>
<sst xmlns="http://schemas.openxmlformats.org/spreadsheetml/2006/main" count="60" uniqueCount="56">
  <si>
    <t>Question.1:</t>
  </si>
  <si>
    <t>IBM</t>
  </si>
  <si>
    <t>S&amp;P 500</t>
  </si>
  <si>
    <t>YEAR 1</t>
  </si>
  <si>
    <t>YEAR 2</t>
  </si>
  <si>
    <t>YEAR 3</t>
  </si>
  <si>
    <t>YEAR 4</t>
  </si>
  <si>
    <t>YEAR 5</t>
  </si>
  <si>
    <t>YEAR 6</t>
  </si>
  <si>
    <t>(i)</t>
  </si>
  <si>
    <t>Covariance</t>
  </si>
  <si>
    <t>General Motors</t>
  </si>
  <si>
    <t>Risk free rate (T-Bill)</t>
  </si>
  <si>
    <t>Deviation from Mean (IBM)</t>
  </si>
  <si>
    <t>Deviation from Mean (General Motors)</t>
  </si>
  <si>
    <t>Deviation from Mean S&amp;P 500</t>
  </si>
  <si>
    <t>Deviation from Mean Risk free rate (T-Bill)</t>
  </si>
  <si>
    <t>(ii)</t>
  </si>
  <si>
    <t>100% wIBM 0% wGM</t>
  </si>
  <si>
    <t>80% wIBM 20% wGM</t>
  </si>
  <si>
    <t>60% wIBM 40% wGM</t>
  </si>
  <si>
    <t>50% wIBM 50% wGM</t>
  </si>
  <si>
    <t>40% wIBM 60% wGM</t>
  </si>
  <si>
    <t>20% wIBM 80% wGM</t>
  </si>
  <si>
    <t>0% wIBM 100% wGM</t>
  </si>
  <si>
    <t>GM: General Motors</t>
  </si>
  <si>
    <t>wIBM: weighted IBM</t>
  </si>
  <si>
    <t>wGM: weighted General Motors</t>
  </si>
  <si>
    <t>Portfolios:</t>
  </si>
  <si>
    <t>Expected Returns:</t>
  </si>
  <si>
    <t>Variance (σ2):</t>
  </si>
  <si>
    <t>Standard Deviation (σ):</t>
  </si>
  <si>
    <t>Covariance  (Cov(IBM,GM)):</t>
  </si>
  <si>
    <t>Weighted Risk:</t>
  </si>
  <si>
    <t>Variance:</t>
  </si>
  <si>
    <t>Portfolio Risk (SD):</t>
  </si>
  <si>
    <t>Diversification Effect:</t>
  </si>
  <si>
    <t>(iii)</t>
  </si>
  <si>
    <t>(iiii)</t>
  </si>
  <si>
    <t>Year</t>
  </si>
  <si>
    <t>GM</t>
  </si>
  <si>
    <t>S&amp;P500</t>
  </si>
  <si>
    <t>Cov (IBM - S&amp;P 500):</t>
  </si>
  <si>
    <t>Cov ( GM - S&amp;P 500):</t>
  </si>
  <si>
    <t>(a) Beta</t>
  </si>
  <si>
    <t>Variance (S&amp;P 500):</t>
  </si>
  <si>
    <t>Beta IBM:</t>
  </si>
  <si>
    <t>Beta GM:</t>
  </si>
  <si>
    <t>(b) CAPM</t>
  </si>
  <si>
    <t xml:space="preserve">Risk free rate: </t>
  </si>
  <si>
    <t>Expected Returns (S&amp;P 500(Market)):</t>
  </si>
  <si>
    <t>Market Premium (S&amp;P 500):</t>
  </si>
  <si>
    <t>CAPM IBM:</t>
  </si>
  <si>
    <t>CAPM GM:</t>
  </si>
  <si>
    <t>Correlation &amp; Coefficient: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</si>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</sst>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0"/>
    <numFmt numFmtId="166" formatCode="0.000"/>
    <numFmt numFmtId="167" formatCode="0.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u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/>
    <xf numFmtId="9" fontId="4" fillId="0" borderId="1" xfId="0" applyNumberFormat="1" applyFont="1" applyBorder="1"/>
    <xf numFmtId="164" fontId="4" fillId="0" borderId="1" xfId="0" applyNumberFormat="1" applyFont="1" applyBorder="1"/>
    <xf numFmtId="0" fontId="6" fillId="0" borderId="1" xfId="0" applyFont="1" applyBorder="1"/>
    <xf numFmtId="10" fontId="4" fillId="0" borderId="1" xfId="0" applyNumberFormat="1" applyFont="1" applyBorder="1"/>
    <xf numFmtId="10" fontId="4" fillId="0" borderId="1" xfId="1" applyNumberFormat="1" applyFont="1" applyBorder="1"/>
    <xf numFmtId="165" fontId="4" fillId="0" borderId="1" xfId="0" applyNumberFormat="1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4" fillId="0" borderId="0" xfId="0" applyFont="1" applyBorder="1"/>
    <xf numFmtId="0" fontId="6" fillId="0" borderId="2" xfId="0" applyFont="1" applyBorder="1" applyAlignment="1">
      <alignment wrapText="1"/>
    </xf>
    <xf numFmtId="10" fontId="4" fillId="0" borderId="3" xfId="1" applyNumberFormat="1" applyFont="1" applyBorder="1"/>
    <xf numFmtId="0" fontId="6" fillId="0" borderId="0" xfId="0" applyFont="1" applyFill="1" applyBorder="1"/>
    <xf numFmtId="0" fontId="4" fillId="0" borderId="0" xfId="0" applyNumberFormat="1" applyFont="1" applyFill="1" applyBorder="1"/>
    <xf numFmtId="166" fontId="4" fillId="0" borderId="0" xfId="0" applyNumberFormat="1" applyFont="1"/>
    <xf numFmtId="2" fontId="4" fillId="0" borderId="1" xfId="0" applyNumberFormat="1" applyFont="1" applyBorder="1"/>
    <xf numFmtId="167" fontId="4" fillId="0" borderId="1" xfId="0" applyNumberFormat="1" applyFont="1" applyBorder="1"/>
    <xf numFmtId="14" fontId="7" fillId="3" borderId="0" xfId="2" applyNumberFormat="1" applyFont="1" applyFill="1" applyAlignment="1">
      <alignment horizontal="center" vertical="center"/>
    </xf>
  </cellXfs>
  <cellStyles count="3"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Feasibility Set Curve of Portfolio Analysis for IBM &amp;</a:t>
            </a:r>
            <a:r>
              <a:rPr lang="en-US" baseline="0"/>
              <a:t> GM</a:t>
            </a:r>
          </a:p>
        </c:rich>
      </c:tx>
      <c:layout>
        <c:manualLayout>
          <c:xMode val="edge"/>
          <c:yMode val="edge"/>
          <c:x val="0.19610556543386018"/>
          <c:y val="2.94659385640981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10870516185478"/>
          <c:y val="0.17171296296296296"/>
          <c:w val="0.80580096237970267"/>
          <c:h val="0.60940543890347043"/>
        </c:manualLayout>
      </c:layout>
      <c:scatterChart>
        <c:scatterStyle val="lineMarker"/>
        <c:varyColors val="0"/>
        <c:ser>
          <c:idx val="0"/>
          <c:order val="0"/>
          <c:tx>
            <c:strRef>
              <c:f>'Q.1. iii'!$B$2</c:f>
              <c:strCache>
                <c:ptCount val="1"/>
                <c:pt idx="0">
                  <c:v>Expected Returns: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'Q.1. iii'!$A$3:$A$9</c:f>
              <c:numCache>
                <c:formatCode>0.00%</c:formatCode>
                <c:ptCount val="7"/>
                <c:pt idx="0">
                  <c:v>0.12759999999999999</c:v>
                </c:pt>
                <c:pt idx="1">
                  <c:v>0.1196</c:v>
                </c:pt>
                <c:pt idx="2">
                  <c:v>0.1148</c:v>
                </c:pt>
                <c:pt idx="3">
                  <c:v>0.1137</c:v>
                </c:pt>
                <c:pt idx="4">
                  <c:v>0.1135</c:v>
                </c:pt>
                <c:pt idx="5">
                  <c:v>0.1159</c:v>
                </c:pt>
                <c:pt idx="6">
                  <c:v>0.1217</c:v>
                </c:pt>
              </c:numCache>
            </c:numRef>
          </c:xVal>
          <c:yVal>
            <c:numRef>
              <c:f>'Q.1. iii'!$B$3:$B$9</c:f>
              <c:numCache>
                <c:formatCode>0.00%</c:formatCode>
                <c:ptCount val="7"/>
                <c:pt idx="0">
                  <c:v>1.4999999999999999E-2</c:v>
                </c:pt>
                <c:pt idx="1">
                  <c:v>2.7699999999999999E-2</c:v>
                </c:pt>
                <c:pt idx="2">
                  <c:v>4.0300000000000002E-2</c:v>
                </c:pt>
                <c:pt idx="3">
                  <c:v>4.6699999999999998E-2</c:v>
                </c:pt>
                <c:pt idx="4">
                  <c:v>5.2999999999999999E-2</c:v>
                </c:pt>
                <c:pt idx="5">
                  <c:v>6.5699999999999995E-2</c:v>
                </c:pt>
                <c:pt idx="6">
                  <c:v>7.8299999999999995E-2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30-4AD9-9481-8B9343C6C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71184"/>
        <c:axId val="168674512"/>
      </c:scatterChart>
      <c:valAx>
        <c:axId val="16867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Portfolio Risk (SD)</a:t>
                </a:r>
              </a:p>
            </c:rich>
          </c:tx>
          <c:layout>
            <c:manualLayout>
              <c:xMode val="edge"/>
              <c:yMode val="edge"/>
              <c:x val="0.39443963254593178"/>
              <c:y val="0.888517789442986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4512"/>
        <c:crosses val="autoZero"/>
        <c:crossBetween val="midCat"/>
      </c:valAx>
      <c:valAx>
        <c:axId val="16867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Expected Returns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71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002977945030828"/>
          <c:y val="0.10212296867010881"/>
          <c:w val="0.20476379137218612"/>
          <c:h val="6.2155149187265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154782</xdr:rowOff>
    </xdr:from>
    <xdr:to>
      <xdr:col>4</xdr:col>
      <xdr:colOff>171450</xdr:colOff>
      <xdr:row>5</xdr:row>
      <xdr:rowOff>11907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F9316C0-5B44-4A15-96B6-7407DD4D2740}"/>
            </a:ext>
          </a:extLst>
        </xdr:cNvPr>
        <xdr:cNvSpPr/>
      </xdr:nvSpPr>
      <xdr:spPr>
        <a:xfrm>
          <a:off x="0" y="154782"/>
          <a:ext cx="7100888" cy="8096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5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FINANCIAL</a:t>
          </a:r>
          <a:r>
            <a:rPr lang="en-IN" sz="15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MARKET PORTFOLIO ANALYSIS</a:t>
          </a:r>
          <a:endParaRPr lang="en-IN" sz="15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19051</xdr:colOff>
      <xdr:row>1</xdr:row>
      <xdr:rowOff>180975</xdr:rowOff>
    </xdr:from>
    <xdr:to>
      <xdr:col>14</xdr:col>
      <xdr:colOff>47625</xdr:colOff>
      <xdr:row>20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31D2E2-A53F-40D6-9E9D-C7DD0A6A0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98CBF-0A5E-4536-891A-ABAF83FBF6C8}">
  <dimension ref="A1:J35"/>
  <sheetViews>
    <sheetView showGridLines="0" topLeftCell="A22" zoomScale="80" zoomScaleNormal="80" workbookViewId="0">
      <selection activeCell="E3" sqref="E3"/>
    </sheetView>
  </sheetViews>
  <sheetFormatPr defaultRowHeight="15" x14ac:dyDescent="0.25"/>
  <cols>
    <col min="1" max="1" width="27.85546875" style="2" bestFit="1" customWidth="1"/>
    <col min="2" max="2" width="26.7109375" style="2" bestFit="1" customWidth="1"/>
    <col min="3" max="3" width="24.42578125" style="2" bestFit="1" customWidth="1"/>
    <col min="4" max="4" width="24.85546875" style="2" bestFit="1" customWidth="1"/>
    <col min="5" max="5" width="25.42578125" style="2" bestFit="1" customWidth="1"/>
    <col min="6" max="6" width="24.85546875" style="2" bestFit="1" customWidth="1"/>
    <col min="7" max="7" width="25" style="2" bestFit="1" customWidth="1"/>
    <col min="8" max="8" width="24.85546875" style="2" bestFit="1" customWidth="1"/>
    <col min="9" max="9" width="25.42578125" style="2" bestFit="1" customWidth="1"/>
    <col min="10" max="10" width="14.5703125" style="2" bestFit="1" customWidth="1"/>
    <col min="11" max="16384" width="9.140625" style="2"/>
  </cols>
  <sheetData>
    <row r="1" spans="1:10" x14ac:dyDescent="0.25">
      <c r="A1" s="26">
        <v>46031</v>
      </c>
    </row>
    <row r="6" spans="1:10" x14ac:dyDescent="0.25">
      <c r="A6" s="3" t="s">
        <v>0</v>
      </c>
    </row>
    <row r="7" spans="1:10" ht="28.5" x14ac:dyDescent="0.25">
      <c r="A7" s="12"/>
      <c r="B7" s="13" t="s">
        <v>1</v>
      </c>
      <c r="C7" s="13" t="s">
        <v>11</v>
      </c>
      <c r="D7" s="13" t="s">
        <v>2</v>
      </c>
      <c r="E7" s="13" t="s">
        <v>12</v>
      </c>
      <c r="F7" s="14" t="s">
        <v>13</v>
      </c>
      <c r="G7" s="14" t="s">
        <v>14</v>
      </c>
      <c r="H7" s="14" t="s">
        <v>15</v>
      </c>
      <c r="I7" s="14" t="s">
        <v>16</v>
      </c>
      <c r="J7" s="13" t="s">
        <v>10</v>
      </c>
    </row>
    <row r="8" spans="1:10" x14ac:dyDescent="0.25">
      <c r="A8" s="8" t="s">
        <v>3</v>
      </c>
      <c r="B8" s="6">
        <v>0.06</v>
      </c>
      <c r="C8" s="6">
        <v>0.12</v>
      </c>
      <c r="D8" s="7">
        <v>4.4999999999999998E-2</v>
      </c>
      <c r="E8" s="6">
        <v>0.02</v>
      </c>
      <c r="F8" s="9">
        <f t="shared" ref="F8:F13" si="0">B8-$B$16</f>
        <v>4.5000000000000005E-2</v>
      </c>
      <c r="G8" s="9">
        <f t="shared" ref="G8:G13" si="1">C8-$C$16</f>
        <v>4.1666666666666657E-2</v>
      </c>
      <c r="H8" s="9">
        <f t="shared" ref="H8:H13" si="2">D8-$D$16</f>
        <v>5.6666666666666671E-3</v>
      </c>
      <c r="I8" s="9">
        <f>E8-$E$16</f>
        <v>0</v>
      </c>
      <c r="J8" s="9">
        <f>F8*G8</f>
        <v>1.8749999999999997E-3</v>
      </c>
    </row>
    <row r="9" spans="1:10" x14ac:dyDescent="0.25">
      <c r="A9" s="8" t="s">
        <v>4</v>
      </c>
      <c r="B9" s="6">
        <v>-0.2</v>
      </c>
      <c r="C9" s="6">
        <v>-7.0000000000000007E-2</v>
      </c>
      <c r="D9" s="6">
        <v>-0.04</v>
      </c>
      <c r="E9" s="6">
        <v>0.02</v>
      </c>
      <c r="F9" s="9">
        <f t="shared" si="0"/>
        <v>-0.215</v>
      </c>
      <c r="G9" s="9">
        <f t="shared" si="1"/>
        <v>-0.14833333333333334</v>
      </c>
      <c r="H9" s="9">
        <f t="shared" si="2"/>
        <v>-7.9333333333333339E-2</v>
      </c>
      <c r="I9" s="9">
        <f t="shared" ref="I9:I13" si="3">E9-$E$16</f>
        <v>0</v>
      </c>
      <c r="J9" s="9">
        <f t="shared" ref="J9:J13" si="4">F9*G9</f>
        <v>3.1891666666666665E-2</v>
      </c>
    </row>
    <row r="10" spans="1:10" x14ac:dyDescent="0.25">
      <c r="A10" s="8" t="s">
        <v>5</v>
      </c>
      <c r="B10" s="6">
        <v>-7.0000000000000007E-2</v>
      </c>
      <c r="C10" s="6">
        <v>-0.02</v>
      </c>
      <c r="D10" s="6">
        <v>0.08</v>
      </c>
      <c r="E10" s="6">
        <v>0.02</v>
      </c>
      <c r="F10" s="9">
        <f t="shared" si="0"/>
        <v>-8.5000000000000006E-2</v>
      </c>
      <c r="G10" s="9">
        <f t="shared" si="1"/>
        <v>-9.8333333333333342E-2</v>
      </c>
      <c r="H10" s="9">
        <f t="shared" si="2"/>
        <v>4.066666666666667E-2</v>
      </c>
      <c r="I10" s="9">
        <f t="shared" si="3"/>
        <v>0</v>
      </c>
      <c r="J10" s="9">
        <f t="shared" si="4"/>
        <v>8.3583333333333339E-3</v>
      </c>
    </row>
    <row r="11" spans="1:10" x14ac:dyDescent="0.25">
      <c r="A11" s="8" t="s">
        <v>6</v>
      </c>
      <c r="B11" s="6">
        <v>0.06</v>
      </c>
      <c r="C11" s="6">
        <v>0.28000000000000003</v>
      </c>
      <c r="D11" s="7">
        <v>5.1999999999999998E-2</v>
      </c>
      <c r="E11" s="6">
        <v>0.02</v>
      </c>
      <c r="F11" s="9">
        <f t="shared" si="0"/>
        <v>4.5000000000000005E-2</v>
      </c>
      <c r="G11" s="9">
        <f t="shared" si="1"/>
        <v>0.20166666666666669</v>
      </c>
      <c r="H11" s="9">
        <f t="shared" si="2"/>
        <v>1.2666666666666666E-2</v>
      </c>
      <c r="I11" s="9">
        <f t="shared" si="3"/>
        <v>0</v>
      </c>
      <c r="J11" s="9">
        <f t="shared" si="4"/>
        <v>9.0750000000000015E-3</v>
      </c>
    </row>
    <row r="12" spans="1:10" x14ac:dyDescent="0.25">
      <c r="A12" s="8" t="s">
        <v>7</v>
      </c>
      <c r="B12" s="6">
        <v>0.15</v>
      </c>
      <c r="C12" s="6">
        <v>0.08</v>
      </c>
      <c r="D12" s="6">
        <v>0.05</v>
      </c>
      <c r="E12" s="6">
        <v>0.02</v>
      </c>
      <c r="F12" s="9">
        <f t="shared" si="0"/>
        <v>0.13500000000000001</v>
      </c>
      <c r="G12" s="9">
        <f t="shared" si="1"/>
        <v>1.6666666666666635E-3</v>
      </c>
      <c r="H12" s="9">
        <f t="shared" si="2"/>
        <v>1.0666666666666672E-2</v>
      </c>
      <c r="I12" s="9">
        <f t="shared" si="3"/>
        <v>0</v>
      </c>
      <c r="J12" s="9">
        <f t="shared" si="4"/>
        <v>2.2499999999999959E-4</v>
      </c>
    </row>
    <row r="13" spans="1:10" x14ac:dyDescent="0.25">
      <c r="A13" s="8" t="s">
        <v>8</v>
      </c>
      <c r="B13" s="6">
        <v>0.09</v>
      </c>
      <c r="C13" s="6">
        <v>0.08</v>
      </c>
      <c r="D13" s="7">
        <v>4.9000000000000002E-2</v>
      </c>
      <c r="E13" s="6">
        <v>0.02</v>
      </c>
      <c r="F13" s="9">
        <f t="shared" si="0"/>
        <v>7.4999999999999997E-2</v>
      </c>
      <c r="G13" s="9">
        <f t="shared" si="1"/>
        <v>1.6666666666666635E-3</v>
      </c>
      <c r="H13" s="9">
        <f t="shared" si="2"/>
        <v>9.6666666666666706E-3</v>
      </c>
      <c r="I13" s="9">
        <f t="shared" si="3"/>
        <v>0</v>
      </c>
      <c r="J13" s="9">
        <f t="shared" si="4"/>
        <v>1.2499999999999976E-4</v>
      </c>
    </row>
    <row r="15" spans="1:10" x14ac:dyDescent="0.25">
      <c r="A15" s="4" t="s">
        <v>9</v>
      </c>
    </row>
    <row r="16" spans="1:10" x14ac:dyDescent="0.25">
      <c r="A16" s="16" t="s">
        <v>29</v>
      </c>
      <c r="B16" s="9">
        <f>AVERAGE(B8:B13)</f>
        <v>1.4999999999999994E-2</v>
      </c>
      <c r="C16" s="9">
        <f>AVERAGE(C8:C13)</f>
        <v>7.8333333333333338E-2</v>
      </c>
      <c r="D16" s="9">
        <f>AVERAGE(D8:D13)</f>
        <v>3.9333333333333331E-2</v>
      </c>
      <c r="E16" s="9">
        <f>AVERAGE(E8:E13)</f>
        <v>0.02</v>
      </c>
      <c r="F16" s="18"/>
      <c r="G16" s="18"/>
    </row>
    <row r="17" spans="1:9" x14ac:dyDescent="0.25">
      <c r="A17" s="16" t="s">
        <v>30</v>
      </c>
      <c r="B17" s="10">
        <f>_xlfn.VAR.S(B8:B13)</f>
        <v>1.627E-2</v>
      </c>
      <c r="C17" s="20">
        <f>_xlfn.VAR.S(C8:C13)</f>
        <v>1.4816666666666672E-2</v>
      </c>
      <c r="D17" s="20">
        <f>_xlfn.VAR.S(D8:D13)</f>
        <v>1.6694666666666666E-3</v>
      </c>
      <c r="E17" s="20">
        <f>_xlfn.VAR.S(E8:E13)</f>
        <v>0</v>
      </c>
      <c r="F17" s="18"/>
      <c r="G17" s="18"/>
    </row>
    <row r="18" spans="1:9" x14ac:dyDescent="0.25">
      <c r="A18" s="16" t="s">
        <v>31</v>
      </c>
      <c r="B18" s="9">
        <f t="shared" ref="B18:G18" si="5">_xlfn.STDEV.S(B8:B13)</f>
        <v>0.12755391017134676</v>
      </c>
      <c r="C18" s="9">
        <f t="shared" si="5"/>
        <v>0.12172373091006812</v>
      </c>
      <c r="D18" s="9">
        <f t="shared" si="5"/>
        <v>4.0859107511871412E-2</v>
      </c>
      <c r="E18" s="9">
        <f t="shared" si="5"/>
        <v>0</v>
      </c>
      <c r="F18" s="9">
        <f t="shared" si="5"/>
        <v>0.12755391017134676</v>
      </c>
      <c r="G18" s="9">
        <f t="shared" si="5"/>
        <v>0.12172373091006812</v>
      </c>
    </row>
    <row r="19" spans="1:9" ht="29.25" x14ac:dyDescent="0.25">
      <c r="A19" s="17" t="s">
        <v>32</v>
      </c>
      <c r="B19" s="11">
        <f>SUM(J8:J13)/5</f>
        <v>1.0310000000000001E-2</v>
      </c>
      <c r="C19" s="18"/>
      <c r="D19" s="18"/>
      <c r="E19" s="18"/>
      <c r="F19" s="18"/>
      <c r="G19" s="18"/>
    </row>
    <row r="20" spans="1:9" x14ac:dyDescent="0.25">
      <c r="A20" s="17" t="s">
        <v>54</v>
      </c>
      <c r="B20" s="5">
        <f>B19/(B18*C18)</f>
        <v>0.66403295531918649</v>
      </c>
      <c r="C20" s="18"/>
      <c r="D20" s="18"/>
      <c r="E20" s="18"/>
      <c r="F20" s="18"/>
      <c r="G20" s="18"/>
    </row>
    <row r="22" spans="1:9" x14ac:dyDescent="0.25">
      <c r="A22" s="4" t="s">
        <v>17</v>
      </c>
    </row>
    <row r="23" spans="1:9" x14ac:dyDescent="0.25">
      <c r="A23" s="8" t="s">
        <v>25</v>
      </c>
      <c r="B23" s="15" t="s">
        <v>28</v>
      </c>
      <c r="C23" s="16" t="s">
        <v>18</v>
      </c>
      <c r="D23" s="16" t="s">
        <v>19</v>
      </c>
      <c r="E23" s="16" t="s">
        <v>20</v>
      </c>
      <c r="F23" s="16" t="s">
        <v>21</v>
      </c>
      <c r="G23" s="16" t="s">
        <v>22</v>
      </c>
      <c r="H23" s="16" t="s">
        <v>23</v>
      </c>
      <c r="I23" s="16" t="s">
        <v>24</v>
      </c>
    </row>
    <row r="24" spans="1:9" x14ac:dyDescent="0.25">
      <c r="A24" s="8" t="s">
        <v>26</v>
      </c>
      <c r="B24" s="16" t="s">
        <v>29</v>
      </c>
      <c r="C24" s="9">
        <f>B16</f>
        <v>1.4999999999999994E-2</v>
      </c>
      <c r="D24" s="10">
        <f>0.8*$B$16+0.2*$C$16</f>
        <v>2.7666666666666666E-2</v>
      </c>
      <c r="E24" s="10">
        <f>0.6*$B$16+0.4*$C$16</f>
        <v>4.0333333333333332E-2</v>
      </c>
      <c r="F24" s="10">
        <f>0.5*$B$16+0.5*$C$16</f>
        <v>4.6666666666666669E-2</v>
      </c>
      <c r="G24" s="10">
        <f>0.4*$B$16+0.6*$C$16</f>
        <v>5.2999999999999999E-2</v>
      </c>
      <c r="H24" s="10">
        <f>0.2*$B$16+0.8*$C$16</f>
        <v>6.5666666666666679E-2</v>
      </c>
      <c r="I24" s="9">
        <f>C16</f>
        <v>7.8333333333333338E-2</v>
      </c>
    </row>
    <row r="25" spans="1:9" ht="29.25" x14ac:dyDescent="0.25">
      <c r="A25" s="19" t="s">
        <v>27</v>
      </c>
      <c r="B25" s="16" t="s">
        <v>34</v>
      </c>
      <c r="C25" s="9">
        <f>B17</f>
        <v>1.627E-2</v>
      </c>
      <c r="D25" s="10">
        <f>0.8*0.8*$B$17+0.2*0.2*$C$17+2*0.8*0.2*$B$19</f>
        <v>1.430466666666667E-2</v>
      </c>
      <c r="E25" s="10">
        <f>0.6*0.6*$B$17+0.4*0.4*$C$17+2*0.6*0.4*$B$19</f>
        <v>1.317666666666667E-2</v>
      </c>
      <c r="F25" s="10">
        <f>0.5*0.5*$B$17+0.5*0.5*$C$17+2*0.5*0.5*$B$19</f>
        <v>1.292666666666667E-2</v>
      </c>
      <c r="G25" s="10">
        <f>0.4*0.4*$B$17+0.6*0.6*$C$17+2*0.4*0.6*$B$19</f>
        <v>1.2886000000000002E-2</v>
      </c>
      <c r="H25" s="10">
        <f>0.2*0.2*$B$17+0.8*0.8*$C$17+2*0.8*0.2*$B$19</f>
        <v>1.3432666666666673E-2</v>
      </c>
      <c r="I25" s="9">
        <f>C17</f>
        <v>1.4816666666666672E-2</v>
      </c>
    </row>
    <row r="26" spans="1:9" x14ac:dyDescent="0.25">
      <c r="A26" s="18"/>
      <c r="B26" s="16" t="s">
        <v>35</v>
      </c>
      <c r="C26" s="9">
        <f>B18</f>
        <v>0.12755391017134676</v>
      </c>
      <c r="D26" s="10">
        <f>SQRT(D25)</f>
        <v>0.11960211815292683</v>
      </c>
      <c r="E26" s="10">
        <f>SQRT(E25)</f>
        <v>0.11478966271693053</v>
      </c>
      <c r="F26" s="10">
        <f>SQRT(F25)</f>
        <v>0.11369549976435597</v>
      </c>
      <c r="G26" s="10">
        <f>SQRT(G25)</f>
        <v>0.1135165186217407</v>
      </c>
      <c r="H26" s="10">
        <f>SQRT(H25)</f>
        <v>0.11589938164919894</v>
      </c>
      <c r="I26" s="9">
        <f>C18</f>
        <v>0.12172373091006812</v>
      </c>
    </row>
    <row r="27" spans="1:9" x14ac:dyDescent="0.25">
      <c r="A27" s="18"/>
      <c r="B27" s="16" t="s">
        <v>33</v>
      </c>
      <c r="C27" s="9">
        <f>1*B18+0*C18</f>
        <v>0.12755391017134676</v>
      </c>
      <c r="D27" s="10">
        <f>0.8*B18+0.2*C18</f>
        <v>0.12638787431909104</v>
      </c>
      <c r="E27" s="10">
        <f>0.6*B18+0.4*C18</f>
        <v>0.12522183846683532</v>
      </c>
      <c r="F27" s="10">
        <f>0.5*B18+0.5*C18</f>
        <v>0.12463882054070743</v>
      </c>
      <c r="G27" s="10">
        <f>0.4*B18+0.6*C18</f>
        <v>0.12405580261457957</v>
      </c>
      <c r="H27" s="10">
        <f>0.2*B18+0.8*C18</f>
        <v>0.12288976676232385</v>
      </c>
      <c r="I27" s="10">
        <f>0*B18+1*C18</f>
        <v>0.12172373091006812</v>
      </c>
    </row>
    <row r="28" spans="1:9" x14ac:dyDescent="0.25">
      <c r="A28" s="18"/>
      <c r="B28" s="17" t="s">
        <v>36</v>
      </c>
      <c r="C28" s="9">
        <f t="shared" ref="C28:I28" si="6">C27-C26</f>
        <v>0</v>
      </c>
      <c r="D28" s="9">
        <f t="shared" si="6"/>
        <v>6.7857561661642113E-3</v>
      </c>
      <c r="E28" s="9">
        <f t="shared" si="6"/>
        <v>1.0432175749904793E-2</v>
      </c>
      <c r="F28" s="9">
        <f t="shared" si="6"/>
        <v>1.0943320776351462E-2</v>
      </c>
      <c r="G28" s="9">
        <f t="shared" si="6"/>
        <v>1.0539283992838877E-2</v>
      </c>
      <c r="H28" s="9">
        <f t="shared" si="6"/>
        <v>6.990385113124914E-3</v>
      </c>
      <c r="I28" s="9">
        <f t="shared" si="6"/>
        <v>0</v>
      </c>
    </row>
    <row r="32" spans="1:9" ht="28.5" customHeight="1" x14ac:dyDescent="0.25"/>
    <row r="35" spans="1:1" x14ac:dyDescent="0.25">
      <c r="A35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C9C9-3119-4A36-B909-897B3B63DBB9}">
  <dimension ref="A1:B9"/>
  <sheetViews>
    <sheetView showGridLines="0" workbookViewId="0">
      <selection activeCell="B14" sqref="B14"/>
    </sheetView>
  </sheetViews>
  <sheetFormatPr defaultRowHeight="15" x14ac:dyDescent="0.25"/>
  <cols>
    <col min="1" max="1" width="19.7109375" bestFit="1" customWidth="1"/>
    <col min="2" max="2" width="19" bestFit="1" customWidth="1"/>
  </cols>
  <sheetData>
    <row r="1" spans="1:2" x14ac:dyDescent="0.25">
      <c r="A1" s="1" t="s">
        <v>37</v>
      </c>
    </row>
    <row r="2" spans="1:2" x14ac:dyDescent="0.25">
      <c r="A2" s="16" t="s">
        <v>35</v>
      </c>
      <c r="B2" s="16" t="s">
        <v>29</v>
      </c>
    </row>
    <row r="3" spans="1:2" x14ac:dyDescent="0.25">
      <c r="A3" s="9">
        <v>0.12759999999999999</v>
      </c>
      <c r="B3" s="9">
        <v>1.4999999999999999E-2</v>
      </c>
    </row>
    <row r="4" spans="1:2" x14ac:dyDescent="0.25">
      <c r="A4" s="9">
        <v>0.1196</v>
      </c>
      <c r="B4" s="9">
        <v>2.7699999999999999E-2</v>
      </c>
    </row>
    <row r="5" spans="1:2" x14ac:dyDescent="0.25">
      <c r="A5" s="9">
        <v>0.1148</v>
      </c>
      <c r="B5" s="9">
        <v>4.0300000000000002E-2</v>
      </c>
    </row>
    <row r="6" spans="1:2" x14ac:dyDescent="0.25">
      <c r="A6" s="9">
        <v>0.1137</v>
      </c>
      <c r="B6" s="9">
        <v>4.6699999999999998E-2</v>
      </c>
    </row>
    <row r="7" spans="1:2" x14ac:dyDescent="0.25">
      <c r="A7" s="9">
        <v>0.1135</v>
      </c>
      <c r="B7" s="9">
        <v>5.2999999999999999E-2</v>
      </c>
    </row>
    <row r="8" spans="1:2" x14ac:dyDescent="0.25">
      <c r="A8" s="9">
        <v>0.1159</v>
      </c>
      <c r="B8" s="9">
        <v>6.5699999999999995E-2</v>
      </c>
    </row>
    <row r="9" spans="1:2" x14ac:dyDescent="0.25">
      <c r="A9" s="9">
        <v>0.1217</v>
      </c>
      <c r="B9" s="9">
        <v>7.8299999999999995E-2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D89F-327C-4414-B335-E34945B5F443}">
  <dimension ref="A1:G24"/>
  <sheetViews>
    <sheetView showGridLines="0" tabSelected="1" workbookViewId="0">
      <selection activeCell="F16" sqref="F16"/>
    </sheetView>
  </sheetViews>
  <sheetFormatPr defaultRowHeight="15" x14ac:dyDescent="0.25"/>
  <cols>
    <col min="1" max="1" width="22.7109375" style="2" bestFit="1" customWidth="1"/>
    <col min="2" max="2" width="12.5703125" style="2" bestFit="1" customWidth="1"/>
    <col min="3" max="3" width="11.85546875" style="2" customWidth="1"/>
    <col min="4" max="4" width="13.7109375" style="2" customWidth="1"/>
    <col min="5" max="5" width="25.85546875" style="2" bestFit="1" customWidth="1"/>
    <col min="6" max="6" width="36.140625" style="2" bestFit="1" customWidth="1"/>
    <col min="7" max="7" width="27.7109375" style="2" bestFit="1" customWidth="1"/>
    <col min="8" max="16384" width="9.140625" style="2"/>
  </cols>
  <sheetData>
    <row r="1" spans="1:7" x14ac:dyDescent="0.25">
      <c r="A1" s="4" t="s">
        <v>38</v>
      </c>
    </row>
    <row r="2" spans="1:7" x14ac:dyDescent="0.25">
      <c r="A2" s="16" t="s">
        <v>39</v>
      </c>
      <c r="B2" s="16" t="s">
        <v>1</v>
      </c>
      <c r="C2" s="16" t="s">
        <v>40</v>
      </c>
      <c r="D2" s="16" t="s">
        <v>41</v>
      </c>
      <c r="E2" s="21"/>
    </row>
    <row r="3" spans="1:7" x14ac:dyDescent="0.25">
      <c r="A3" s="8">
        <v>1</v>
      </c>
      <c r="B3" s="5">
        <v>0.06</v>
      </c>
      <c r="C3" s="5">
        <v>0.12</v>
      </c>
      <c r="D3" s="5">
        <v>4.4999999999999998E-2</v>
      </c>
      <c r="E3" s="22"/>
      <c r="F3" s="23"/>
      <c r="G3" s="23"/>
    </row>
    <row r="4" spans="1:7" x14ac:dyDescent="0.25">
      <c r="A4" s="8">
        <v>2</v>
      </c>
      <c r="B4" s="5">
        <v>-0.2</v>
      </c>
      <c r="C4" s="5">
        <v>-7.0000000000000007E-2</v>
      </c>
      <c r="D4" s="5">
        <v>-0.04</v>
      </c>
      <c r="E4" s="22"/>
      <c r="F4" s="23"/>
      <c r="G4" s="23"/>
    </row>
    <row r="5" spans="1:7" x14ac:dyDescent="0.25">
      <c r="A5" s="8">
        <v>3</v>
      </c>
      <c r="B5" s="5">
        <v>-7.0000000000000007E-2</v>
      </c>
      <c r="C5" s="5">
        <v>-0.02</v>
      </c>
      <c r="D5" s="5">
        <v>0.08</v>
      </c>
      <c r="E5" s="22"/>
      <c r="F5" s="23"/>
      <c r="G5" s="23"/>
    </row>
    <row r="6" spans="1:7" x14ac:dyDescent="0.25">
      <c r="A6" s="8">
        <v>4</v>
      </c>
      <c r="B6" s="5">
        <v>0.06</v>
      </c>
      <c r="C6" s="5">
        <v>0.28000000000000003</v>
      </c>
      <c r="D6" s="5">
        <v>5.1999999999999998E-2</v>
      </c>
      <c r="E6" s="22"/>
      <c r="F6" s="23"/>
      <c r="G6" s="23"/>
    </row>
    <row r="7" spans="1:7" x14ac:dyDescent="0.25">
      <c r="A7" s="8">
        <v>5</v>
      </c>
      <c r="B7" s="5">
        <v>0.15</v>
      </c>
      <c r="C7" s="5">
        <v>0.08</v>
      </c>
      <c r="D7" s="5">
        <v>0.05</v>
      </c>
      <c r="E7" s="22"/>
      <c r="F7" s="23"/>
      <c r="G7" s="23"/>
    </row>
    <row r="8" spans="1:7" x14ac:dyDescent="0.25">
      <c r="A8" s="8">
        <v>6</v>
      </c>
      <c r="B8" s="5">
        <v>0.09</v>
      </c>
      <c r="C8" s="5">
        <v>0.08</v>
      </c>
      <c r="D8" s="5">
        <v>4.9000000000000002E-2</v>
      </c>
      <c r="E8" s="22"/>
      <c r="F8" s="23"/>
      <c r="G8" s="23"/>
    </row>
    <row r="10" spans="1:7" x14ac:dyDescent="0.25">
      <c r="A10" s="4" t="s">
        <v>44</v>
      </c>
    </row>
    <row r="11" spans="1:7" x14ac:dyDescent="0.25">
      <c r="A11" s="16" t="s">
        <v>42</v>
      </c>
      <c r="B11" s="5">
        <f>_xlfn.COVARIANCE.S(B3:B8, D3:D8)</f>
        <v>3.3180000000000006E-3</v>
      </c>
    </row>
    <row r="12" spans="1:7" x14ac:dyDescent="0.25">
      <c r="A12" s="16" t="s">
        <v>43</v>
      </c>
      <c r="B12" s="25">
        <f>_xlfn.COVARIANCE.S(C3:C8, D3:D8)</f>
        <v>2.1186666666666671E-3</v>
      </c>
    </row>
    <row r="13" spans="1:7" x14ac:dyDescent="0.25">
      <c r="A13" s="16" t="s">
        <v>45</v>
      </c>
      <c r="B13" s="5">
        <f>_xlfn.VAR.S(D3:D8)</f>
        <v>1.6694666666666666E-3</v>
      </c>
    </row>
    <row r="14" spans="1:7" x14ac:dyDescent="0.25">
      <c r="E14" s="2" t="s">
        <v>55</v>
      </c>
    </row>
    <row r="15" spans="1:7" x14ac:dyDescent="0.25">
      <c r="A15" s="16" t="s">
        <v>46</v>
      </c>
      <c r="B15" s="16" t="s">
        <v>47</v>
      </c>
    </row>
    <row r="16" spans="1:7" x14ac:dyDescent="0.25">
      <c r="A16" s="24">
        <f>B11/B13</f>
        <v>1.9874610654101115</v>
      </c>
      <c r="B16" s="24">
        <f>B12/B13</f>
        <v>1.2690679658174271</v>
      </c>
    </row>
    <row r="18" spans="1:2" x14ac:dyDescent="0.25">
      <c r="A18" s="4" t="s">
        <v>48</v>
      </c>
    </row>
    <row r="19" spans="1:2" ht="43.5" x14ac:dyDescent="0.25">
      <c r="A19" s="17" t="s">
        <v>50</v>
      </c>
      <c r="B19" s="10">
        <f>AVERAGE(D3:D8)</f>
        <v>3.9333333333333331E-2</v>
      </c>
    </row>
    <row r="20" spans="1:2" x14ac:dyDescent="0.25">
      <c r="A20" s="16" t="s">
        <v>49</v>
      </c>
      <c r="B20" s="10">
        <v>0.02</v>
      </c>
    </row>
    <row r="21" spans="1:2" ht="29.25" x14ac:dyDescent="0.25">
      <c r="A21" s="17" t="s">
        <v>51</v>
      </c>
      <c r="B21" s="9">
        <f>B19-B20</f>
        <v>1.9333333333333331E-2</v>
      </c>
    </row>
    <row r="23" spans="1:2" x14ac:dyDescent="0.25">
      <c r="A23" s="16" t="s">
        <v>52</v>
      </c>
      <c r="B23" s="16" t="s">
        <v>53</v>
      </c>
    </row>
    <row r="24" spans="1:2" x14ac:dyDescent="0.25">
      <c r="A24" s="10">
        <f>B20+A16*(B21-B20)</f>
        <v>1.8675025956393254E-2</v>
      </c>
      <c r="B24" s="10">
        <f>B20+B16*(B21-B20)</f>
        <v>1.9153954689455046E-2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Q.1. i &amp; ii</vt:lpstr>
      <vt:lpstr>Q.1. iii</vt:lpstr>
      <vt:lpstr>Q.1. iiii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Nizam Mohd Nasir Shaikh</dc:creator>
  <cp:lastModifiedBy>Mohd Nizam Mohd Nasir Shaikh</cp:lastModifiedBy>
  <dcterms:created xsi:type="dcterms:W3CDTF">2026-01-04T20:18:04Z</dcterms:created>
  <dcterms:modified xsi:type="dcterms:W3CDTF">2026-01-09T14:21:41Z</dcterms:modified>
</cp:coreProperties>
</file>